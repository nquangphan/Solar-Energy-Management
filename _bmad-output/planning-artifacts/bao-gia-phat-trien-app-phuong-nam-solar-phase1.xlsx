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gi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0B7E70"/>
      <sz val="14"/>
    </font>
    <font>
      <name val="Calibri"/>
      <color rgb="006B7B77"/>
      <sz val="9"/>
    </font>
    <font>
      <name val="Calibri"/>
      <b val="1"/>
      <color rgb="001B2A27"/>
      <sz val="18"/>
    </font>
    <font>
      <name val="Calibri"/>
      <i val="1"/>
      <color rgb="000B7E70"/>
      <sz val="11"/>
    </font>
    <font>
      <name val="Calibri"/>
      <b val="1"/>
      <color rgb="001B2A27"/>
      <sz val="10"/>
    </font>
    <font>
      <name val="Calibri"/>
      <b val="1"/>
      <color rgb="00FFFFFF"/>
      <sz val="10"/>
    </font>
    <font>
      <name val="Calibri"/>
      <b val="1"/>
      <color rgb="000B7E70"/>
      <sz val="10"/>
    </font>
    <font>
      <name val="Calibri"/>
      <color rgb="001B2A27"/>
      <sz val="10"/>
    </font>
    <font>
      <name val="Calibri"/>
      <b val="1"/>
      <color rgb="001B2A27"/>
      <sz val="11"/>
    </font>
    <font>
      <name val="Calibri"/>
      <b val="1"/>
      <color rgb="001B2A27"/>
      <sz val="13"/>
    </font>
    <font>
      <name val="Calibri"/>
      <b val="1"/>
      <color rgb="000B7E70"/>
      <sz val="13"/>
    </font>
    <font>
      <name val="Calibri"/>
      <b val="1"/>
      <color rgb="000B7E70"/>
      <sz val="11"/>
    </font>
    <font>
      <name val="Calibri"/>
      <color rgb="001B2A27"/>
      <sz val="9"/>
    </font>
    <font>
      <name val="Calibri"/>
      <b val="1"/>
      <color rgb="00FFFFFF"/>
      <sz val="9"/>
    </font>
    <font>
      <name val="Calibri"/>
      <b val="1"/>
      <color rgb="000B7E70"/>
      <sz val="9"/>
    </font>
    <font>
      <name val="Calibri"/>
      <b val="1"/>
      <color rgb="001B2A27"/>
      <sz val="9"/>
    </font>
    <font>
      <name val="Calibri"/>
      <i val="1"/>
      <color rgb="001B2A27"/>
      <sz val="9"/>
    </font>
  </fonts>
  <fills count="6">
    <fill>
      <patternFill/>
    </fill>
    <fill>
      <patternFill patternType="gray125"/>
    </fill>
    <fill>
      <patternFill patternType="solid">
        <fgColor rgb="000E9F8E"/>
      </patternFill>
    </fill>
    <fill>
      <patternFill patternType="solid">
        <fgColor rgb="00F1F5F4"/>
      </patternFill>
    </fill>
    <fill>
      <patternFill patternType="solid">
        <fgColor rgb="00F8FAFA"/>
      </patternFill>
    </fill>
    <fill>
      <patternFill patternType="solid">
        <fgColor rgb="00E6F6F3"/>
      </patternFill>
    </fill>
  </fills>
  <borders count="2">
    <border>
      <left/>
      <right/>
      <top/>
      <bottom/>
      <diagonal/>
    </border>
    <border>
      <left style="thin">
        <color rgb="00C9D6D2"/>
      </left>
      <right style="thin">
        <color rgb="00C9D6D2"/>
      </right>
      <top style="thin">
        <color rgb="00C9D6D2"/>
      </top>
      <bottom style="thin">
        <color rgb="00C9D6D2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3" fontId="7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/>
    </xf>
    <xf numFmtId="3" fontId="5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0" fontId="0" fillId="4" borderId="1" pivotButton="0" quotePrefix="0" xfId="0"/>
    <xf numFmtId="3" fontId="9" fillId="4" borderId="1" applyAlignment="1" pivotButton="0" quotePrefix="0" xfId="0">
      <alignment horizontal="right" vertical="center"/>
    </xf>
    <xf numFmtId="0" fontId="10" fillId="5" borderId="1" applyAlignment="1" pivotButton="0" quotePrefix="0" xfId="0">
      <alignment horizontal="right" vertical="center"/>
    </xf>
    <xf numFmtId="0" fontId="0" fillId="5" borderId="1" pivotButton="0" quotePrefix="0" xfId="0"/>
    <xf numFmtId="3" fontId="11" fillId="5" borderId="1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applyAlignment="1" pivotButton="0" quotePrefix="0" xfId="0">
      <alignment horizontal="left" vertical="top" wrapText="1"/>
    </xf>
    <xf numFmtId="0" fontId="14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5" fillId="5" borderId="1" applyAlignment="1" pivotButton="0" quotePrefix="0" xfId="0">
      <alignment horizontal="left" vertical="center" wrapText="1"/>
    </xf>
    <xf numFmtId="0" fontId="16" fillId="5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97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42" customWidth="1" min="2" max="2"/>
    <col width="58" customWidth="1" min="3" max="3"/>
    <col width="20" customWidth="1" min="4" max="4"/>
  </cols>
  <sheetData>
    <row r="1">
      <c r="A1" s="1" t="inlineStr">
        <is>
          <t>CÔNG TY 2P SOLUTIONS</t>
        </is>
      </c>
    </row>
    <row r="2">
      <c r="A2" s="2" t="inlineStr">
        <is>
          <t>Địa chỉ: … · Điện thoại: … · Email: … · MST: …</t>
        </is>
      </c>
    </row>
    <row r="4" ht="26" customHeight="1">
      <c r="A4" s="3" t="inlineStr">
        <is>
          <t>BÁO GIÁ PHÁT TRIỂN PHẦN MỀM</t>
        </is>
      </c>
    </row>
    <row r="5">
      <c r="A5" s="4" t="inlineStr">
        <is>
          <t>Hệ thống quản lý nội bộ — Công ty NLMT Phương Nam · Giai đoạn 1 (Phase 1)</t>
        </is>
      </c>
    </row>
    <row r="7">
      <c r="A7" s="5" t="inlineStr">
        <is>
          <t>Khách hàng:</t>
        </is>
      </c>
      <c r="B7" s="5" t="inlineStr">
        <is>
          <t>CÔNG TY TNHH GIẢI PHÁP NĂNG LƯỢNG MẶT TRỜI PHƯƠNG NAM</t>
        </is>
      </c>
      <c r="D7" s="6" t="inlineStr">
        <is>
          <t>Số BG: BG-DEV-2026-001</t>
        </is>
      </c>
    </row>
    <row r="8">
      <c r="A8" s="5" t="inlineStr">
        <is>
          <t>Dự án:</t>
        </is>
      </c>
      <c r="B8" t="inlineStr">
        <is>
          <t>App quản lý bán &amp; thi công điện mặt trời (Web + Mobile)</t>
        </is>
      </c>
      <c r="D8" s="6" t="inlineStr">
        <is>
          <t>Ngày: …/…/2026</t>
        </is>
      </c>
    </row>
    <row r="9">
      <c r="A9" s="5" t="inlineStr">
        <is>
          <t>Nền tảng:</t>
        </is>
      </c>
      <c r="B9" t="inlineStr">
        <is>
          <t>Web: ReactJS · Mobile: Flutter (Clean Arch, BLoC) · Backend: NodeJS · VPS</t>
        </is>
      </c>
      <c r="D9" s="6" t="inlineStr">
        <is>
          <t>Hiệu lực: 30 ngày</t>
        </is>
      </c>
    </row>
    <row r="11" ht="22" customHeight="1">
      <c r="A11" s="7" t="inlineStr">
        <is>
          <t>STT</t>
        </is>
      </c>
      <c r="B11" s="7" t="inlineStr">
        <is>
          <t>Hạng mục</t>
        </is>
      </c>
      <c r="C11" s="7" t="inlineStr">
        <is>
          <t>Mô tả</t>
        </is>
      </c>
      <c r="D11" s="7" t="inlineStr">
        <is>
          <t>Thành tiền (VNĐ)</t>
        </is>
      </c>
    </row>
    <row r="12">
      <c r="A12" s="8" t="inlineStr">
        <is>
          <t>0. Khởi tạo &amp; Nền tảng</t>
        </is>
      </c>
      <c r="B12" s="9" t="n"/>
      <c r="C12" s="9" t="n"/>
      <c r="D12" s="10">
        <f>SUM(D13:D17)</f>
        <v/>
      </c>
    </row>
    <row r="13" ht="26" customHeight="1">
      <c r="A13" s="11" t="n">
        <v>1</v>
      </c>
      <c r="B13" s="12" t="inlineStr">
        <is>
          <t>Thiết lập dự án &amp; hạ tầng</t>
        </is>
      </c>
      <c r="C13" s="12" t="inlineStr">
        <is>
          <t>Repo, môi trường, CI/CD, cấu hình VPS, backup</t>
        </is>
      </c>
      <c r="D13" s="13" t="n">
        <v>4800000</v>
      </c>
    </row>
    <row r="14" ht="26" customHeight="1">
      <c r="A14" s="11" t="n">
        <v>2</v>
      </c>
      <c r="B14" s="12" t="inlineStr">
        <is>
          <t>Design system — Web (React)</t>
        </is>
      </c>
      <c r="C14" s="12" t="inlineStr">
        <is>
          <t>Token màu/chữ/spacing, thư viện component dùng chung</t>
        </is>
      </c>
      <c r="D14" s="13" t="n">
        <v>7200000</v>
      </c>
    </row>
    <row r="15" ht="26" customHeight="1">
      <c r="A15" s="11" t="n">
        <v>3</v>
      </c>
      <c r="B15" s="12" t="inlineStr">
        <is>
          <t>Design system — Mobile (Flutter)</t>
        </is>
      </c>
      <c r="C15" s="12" t="inlineStr">
        <is>
          <t>Bộ widget tương ứng, thống nhất UI với web</t>
        </is>
      </c>
      <c r="D15" s="13" t="n">
        <v>7200000</v>
      </c>
    </row>
    <row r="16" ht="26" customHeight="1">
      <c r="A16" s="11" t="n">
        <v>4</v>
      </c>
      <c r="B16" s="12" t="inlineStr">
        <is>
          <t>Kiến trúc Backend (NodeJS)</t>
        </is>
      </c>
      <c r="C16" s="12" t="inlineStr">
        <is>
          <t>Khung API, schema CSDL, xác thực, phân tầng</t>
        </is>
      </c>
      <c r="D16" s="13" t="n">
        <v>7200000</v>
      </c>
    </row>
    <row r="17" ht="26" customHeight="1">
      <c r="A17" s="11" t="n">
        <v>5</v>
      </c>
      <c r="B17" s="12" t="inlineStr">
        <is>
          <t>Kiến trúc Mobile (Clean Arch + BLoC)</t>
        </is>
      </c>
      <c r="C17" s="12" t="inlineStr">
        <is>
          <t>Khung app, điều hướng, quản lý state</t>
        </is>
      </c>
      <c r="D17" s="13" t="n">
        <v>4800000</v>
      </c>
    </row>
    <row r="18">
      <c r="A18" s="8" t="inlineStr">
        <is>
          <t>1. Xác thực &amp; Tài khoản</t>
        </is>
      </c>
      <c r="B18" s="9" t="n"/>
      <c r="C18" s="9" t="n"/>
      <c r="D18" s="10">
        <f>SUM(D19:D21)</f>
        <v/>
      </c>
    </row>
    <row r="19" ht="26" customHeight="1">
      <c r="A19" s="11" t="n">
        <v>6</v>
      </c>
      <c r="B19" s="12" t="inlineStr">
        <is>
          <t>Đăng nhập &amp; phiên</t>
        </is>
      </c>
      <c r="C19" s="12" t="inlineStr">
        <is>
          <t>Đăng nhập, áp quyền theo account (BE + web + mobile)</t>
        </is>
      </c>
      <c r="D19" s="13" t="n">
        <v>4800000</v>
      </c>
    </row>
    <row r="20" ht="26" customHeight="1">
      <c r="A20" s="11" t="n">
        <v>7</v>
      </c>
      <c r="B20" s="12" t="inlineStr">
        <is>
          <t>Quên mật khẩu</t>
        </is>
      </c>
      <c r="C20" s="12" t="inlineStr">
        <is>
          <t>Đặt lại mật khẩu qua SĐT/email</t>
        </is>
      </c>
      <c r="D20" s="13" t="n">
        <v>2400000</v>
      </c>
    </row>
    <row r="21" ht="26" customHeight="1">
      <c r="A21" s="11" t="n">
        <v>8</v>
      </c>
      <c r="B21" s="12" t="inlineStr">
        <is>
          <t>Hồ sơ &amp; đổi mật khẩu</t>
        </is>
      </c>
      <c r="C21" s="12" t="inlineStr">
        <is>
          <t>Xem thông tin, đổi mật khẩu</t>
        </is>
      </c>
      <c r="D21" s="13" t="n">
        <v>2400000</v>
      </c>
    </row>
    <row r="22">
      <c r="A22" s="8" t="inlineStr">
        <is>
          <t>2. Khách hàng</t>
        </is>
      </c>
      <c r="B22" s="9" t="n"/>
      <c r="C22" s="9" t="n"/>
      <c r="D22" s="10">
        <f>SUM(D23:D24)</f>
        <v/>
      </c>
    </row>
    <row r="23" ht="26" customHeight="1">
      <c r="A23" s="11" t="n">
        <v>9</v>
      </c>
      <c r="B23" s="12" t="inlineStr">
        <is>
          <t>CRUD khách hàng (SĐT làm khoá)</t>
        </is>
      </c>
      <c r="C23" s="12" t="inlineStr">
        <is>
          <t>Tạo/sửa/tra; tra SĐT → chọn cũ hoặc tạo mới inline</t>
        </is>
      </c>
      <c r="D23" s="13" t="n">
        <v>6000000</v>
      </c>
    </row>
    <row r="24" ht="26" customHeight="1">
      <c r="A24" s="11" t="n">
        <v>10</v>
      </c>
      <c r="B24" s="12" t="inlineStr">
        <is>
          <t>Danh sách &amp; chi tiết khách</t>
        </is>
      </c>
      <c r="C24" s="12" t="inlineStr">
        <is>
          <t>Tìm kiếm, lịch sử đơn của khách</t>
        </is>
      </c>
      <c r="D24" s="13" t="n">
        <v>3600000</v>
      </c>
    </row>
    <row r="25">
      <c r="A25" s="8" t="inlineStr">
        <is>
          <t>3. Danh mục vật tư &amp; Giá</t>
        </is>
      </c>
      <c r="B25" s="9" t="n"/>
      <c r="C25" s="9" t="n"/>
      <c r="D25" s="10">
        <f>SUM(D26:D27)</f>
        <v/>
      </c>
    </row>
    <row r="26" ht="26" customHeight="1">
      <c r="A26" s="11" t="n">
        <v>11</v>
      </c>
      <c r="B26" s="12" t="inlineStr">
        <is>
          <t>CRUD sản phẩm &amp; giá</t>
        </is>
      </c>
      <c r="C26" s="12" t="inlineStr">
        <is>
          <t>Thêm/sửa/xoá sản phẩm, cập nhật giá (BE+web+mobile)</t>
        </is>
      </c>
      <c r="D26" s="13" t="n">
        <v>4800000</v>
      </c>
    </row>
    <row r="27" ht="26" customHeight="1">
      <c r="A27" s="11" t="n">
        <v>12</v>
      </c>
      <c r="B27" s="12" t="inlineStr">
        <is>
          <t>Giá phân tầng lẻ/sỉ (sau cờ)</t>
        </is>
      </c>
      <c r="C27" s="12" t="inlineStr">
        <is>
          <t>Bật/tắt cờ, quy tắc chọn mức giá</t>
        </is>
      </c>
      <c r="D27" s="13" t="n">
        <v>2400000</v>
      </c>
    </row>
    <row r="28">
      <c r="A28" s="8" t="inlineStr">
        <is>
          <t>4. Báo giá &amp; Đơn hàng (lõi)</t>
        </is>
      </c>
      <c r="B28" s="9" t="n"/>
      <c r="C28" s="9" t="n"/>
      <c r="D28" s="10">
        <f>SUM(D29:D35)</f>
        <v/>
      </c>
    </row>
    <row r="29" ht="26" customHeight="1">
      <c r="A29" s="11" t="n">
        <v>13</v>
      </c>
      <c r="B29" s="12" t="inlineStr">
        <is>
          <t>Giỏ hàng báo giá — Web</t>
        </is>
      </c>
      <c r="C29" s="12" t="inlineStr">
        <is>
          <t>Line item SKU + dòng tự do/gói + diễn giải, tổng realtime</t>
        </is>
      </c>
      <c r="D29" s="13" t="n">
        <v>7200000</v>
      </c>
    </row>
    <row r="30" ht="26" customHeight="1">
      <c r="A30" s="11" t="n">
        <v>14</v>
      </c>
      <c r="B30" s="12" t="inlineStr">
        <is>
          <t>Giỏ hàng báo giá — Mobile (hiện trường)</t>
        </is>
      </c>
      <c r="C30" s="12" t="inlineStr">
        <is>
          <t>Thao tác chạm, đưa khách xem tại chỗ</t>
        </is>
      </c>
      <c r="D30" s="13" t="n">
        <v>7200000</v>
      </c>
    </row>
    <row r="31" ht="26" customHeight="1">
      <c r="A31" s="11" t="n">
        <v>15</v>
      </c>
      <c r="B31" s="12" t="inlineStr">
        <is>
          <t>Cờ phạm vi + loại khách + kWp + hiệu lực</t>
        </is>
      </c>
      <c r="C31" s="12" t="inlineStr">
        <is>
          <t>Preset cờ theo loại khách, metadata đơn</t>
        </is>
      </c>
      <c r="D31" s="13" t="n">
        <v>3000000</v>
      </c>
    </row>
    <row r="32" ht="26" customHeight="1">
      <c r="A32" s="11" t="n">
        <v>16</v>
      </c>
      <c r="B32" s="12" t="inlineStr">
        <is>
          <t>VAT cấu hình + toggle + tổng</t>
        </is>
      </c>
      <c r="C32" s="12" t="inlineStr">
        <is>
          <t>Thuế suất config, tick có/không VAT, 3 mức tổng</t>
        </is>
      </c>
      <c r="D32" s="13" t="n">
        <v>2400000</v>
      </c>
    </row>
    <row r="33" ht="26" customHeight="1">
      <c r="A33" s="11" t="n">
        <v>17</v>
      </c>
      <c r="B33" s="12" t="inlineStr">
        <is>
          <t>Chốt đơn + snapshot giá</t>
        </is>
      </c>
      <c r="C33" s="12" t="inlineStr">
        <is>
          <t>Đóng băng giá vào line item khi chốt</t>
        </is>
      </c>
      <c r="D33" s="13" t="n">
        <v>3000000</v>
      </c>
    </row>
    <row r="34" ht="26" customHeight="1">
      <c r="A34" s="11" t="n">
        <v>18</v>
      </c>
      <c r="B34" s="12" t="inlineStr">
        <is>
          <t>Sửa đơn đã chốt (bản update + lịch sử)</t>
        </is>
      </c>
      <c r="C34" s="12" t="inlineStr">
        <is>
          <t>Tạo version mới, xem lịch sử thay đổi</t>
        </is>
      </c>
      <c r="D34" s="13" t="n">
        <v>4800000</v>
      </c>
    </row>
    <row r="35" ht="26" customHeight="1">
      <c r="A35" s="11" t="n">
        <v>19</v>
      </c>
      <c r="B35" s="12" t="inlineStr">
        <is>
          <t>Xuất PDF + chia sẻ ảnh/PDF</t>
        </is>
      </c>
      <c r="C35" s="12" t="inlineStr">
        <is>
          <t>Xuất báo giá, native share (ưu tiên ảnh), web tải/chia sẻ</t>
        </is>
      </c>
      <c r="D35" s="13" t="n">
        <v>4800000</v>
      </c>
    </row>
    <row r="36">
      <c r="A36" s="8" t="inlineStr">
        <is>
          <t>5. Vòng đời &amp; Trạng thái đơn</t>
        </is>
      </c>
      <c r="B36" s="9" t="n"/>
      <c r="C36" s="9" t="n"/>
      <c r="D36" s="10">
        <f>SUM(D37:D41)</f>
        <v/>
      </c>
    </row>
    <row r="37" ht="26" customHeight="1">
      <c r="A37" s="11" t="n">
        <v>20</v>
      </c>
      <c r="B37" s="12" t="inlineStr">
        <is>
          <t>Máy trạng thái gate theo cờ (BE)</t>
        </is>
      </c>
      <c r="C37" s="12" t="inlineStr">
        <is>
          <t>Luồng trạng thái theo 3 cờ phạm vi (Hybrid)</t>
        </is>
      </c>
      <c r="D37" s="13" t="n">
        <v>6000000</v>
      </c>
    </row>
    <row r="38" ht="26" customHeight="1">
      <c r="A38" s="11" t="n">
        <v>21</v>
      </c>
      <c r="B38" s="12" t="inlineStr">
        <is>
          <t>Chuyển trạng thái + duyệt + tự nhảy</t>
        </is>
      </c>
      <c r="C38" s="12" t="inlineStr">
        <is>
          <t>Thủ công theo quyền, auto theo sự kiện nghiệp vụ</t>
        </is>
      </c>
      <c r="D38" s="13" t="n">
        <v>4800000</v>
      </c>
    </row>
    <row r="39" ht="26" customHeight="1">
      <c r="A39" s="11" t="n">
        <v>22</v>
      </c>
      <c r="B39" s="12" t="inlineStr">
        <is>
          <t>Màn chuyển trạng thái + đính kèm ảnh</t>
        </is>
      </c>
      <c r="C39" s="12" t="inlineStr">
        <is>
          <t>Web dialog / mobile bottom sheet</t>
        </is>
      </c>
      <c r="D39" s="13" t="n">
        <v>4200000</v>
      </c>
    </row>
    <row r="40" ht="26" customHeight="1">
      <c r="A40" s="11" t="n">
        <v>23</v>
      </c>
      <c r="B40" s="12" t="inlineStr">
        <is>
          <t>Danh sách đơn + filter + follow-up + states</t>
        </is>
      </c>
      <c r="C40" s="12" t="inlineStr">
        <is>
          <t>Lọc trạng thái, tab follow-up, empty/loading/error</t>
        </is>
      </c>
      <c r="D40" s="13" t="n">
        <v>4800000</v>
      </c>
    </row>
    <row r="41" ht="26" customHeight="1">
      <c r="A41" s="11" t="n">
        <v>24</v>
      </c>
      <c r="B41" s="12" t="inlineStr">
        <is>
          <t>Huỷ đơn</t>
        </is>
      </c>
      <c r="C41" s="12" t="inlineStr">
        <is>
          <t>Xác nhận + lý do huỷ</t>
        </is>
      </c>
      <c r="D41" s="13" t="n">
        <v>1800000</v>
      </c>
    </row>
    <row r="42">
      <c r="A42" s="8" t="inlineStr">
        <is>
          <t>6. Đính kèm ảnh</t>
        </is>
      </c>
      <c r="B42" s="9" t="n"/>
      <c r="C42" s="9" t="n"/>
      <c r="D42" s="10">
        <f>SUM(D43:D43)</f>
        <v/>
      </c>
    </row>
    <row r="43" ht="26" customHeight="1">
      <c r="A43" s="11" t="n">
        <v>25</v>
      </c>
      <c r="B43" s="12" t="inlineStr">
        <is>
          <t>Upload &amp; quản lý ảnh theo đơn</t>
        </is>
      </c>
      <c r="C43" s="12" t="inlineStr">
        <is>
          <t>Lưu trữ ảnh, gắn theo bước/tự do, ghi audit</t>
        </is>
      </c>
      <c r="D43" s="13" t="n">
        <v>4800000</v>
      </c>
    </row>
    <row r="44">
      <c r="A44" s="8" t="inlineStr">
        <is>
          <t>7. Thanh toán</t>
        </is>
      </c>
      <c r="B44" s="9" t="n"/>
      <c r="C44" s="9" t="n"/>
      <c r="D44" s="10">
        <f>SUM(D45:D46)</f>
        <v/>
      </c>
    </row>
    <row r="45" ht="26" customHeight="1">
      <c r="A45" s="11" t="n">
        <v>26</v>
      </c>
      <c r="B45" s="12" t="inlineStr">
        <is>
          <t>Lịch thanh toán nhiều đợt</t>
        </is>
      </c>
      <c r="C45" s="12" t="inlineStr">
        <is>
          <t>Cấu hình đợt (20/70/10, 100%, tuỳ chỉnh)</t>
        </is>
      </c>
      <c r="D45" s="13" t="n">
        <v>3600000</v>
      </c>
    </row>
    <row r="46" ht="26" customHeight="1">
      <c r="A46" s="11" t="n">
        <v>27</v>
      </c>
      <c r="B46" s="12" t="inlineStr">
        <is>
          <t>Ghi nhận thanh toán + công nợ</t>
        </is>
      </c>
      <c r="C46" s="12" t="inlineStr">
        <is>
          <t>Ghi nhận đợt → auto chuyển trạng thái, theo dõi công nợ</t>
        </is>
      </c>
      <c r="D46" s="13" t="n">
        <v>3600000</v>
      </c>
    </row>
    <row r="47">
      <c r="A47" s="8" t="inlineStr">
        <is>
          <t>8. Hợp đồng &amp; Hoá đơn</t>
        </is>
      </c>
      <c r="B47" s="9" t="n"/>
      <c r="C47" s="9" t="n"/>
      <c r="D47" s="10">
        <f>SUM(D48:D49)</f>
        <v/>
      </c>
    </row>
    <row r="48" ht="26" customHeight="1">
      <c r="A48" s="11" t="n">
        <v>28</v>
      </c>
      <c r="B48" s="12" t="inlineStr">
        <is>
          <t>Sinh hợp đồng (Thi công/Mua bán) + PDF</t>
        </is>
      </c>
      <c r="C48" s="12" t="inlineStr">
        <is>
          <t>Điền dữ liệu động vào template tĩnh, xuất PDF</t>
        </is>
      </c>
      <c r="D48" s="13" t="n">
        <v>6000000</v>
      </c>
    </row>
    <row r="49" ht="26" customHeight="1">
      <c r="A49" s="11" t="n">
        <v>29</v>
      </c>
      <c r="B49" s="12" t="inlineStr">
        <is>
          <t>Hoá đơn (tạo, lưu DB, PDF)</t>
        </is>
      </c>
      <c r="C49" s="12" t="inlineStr">
        <is>
          <t>Chứng từ nội bộ từ đơn, xuất PDF (không tích hợp HĐĐT)</t>
        </is>
      </c>
      <c r="D49" s="13" t="n">
        <v>4200000</v>
      </c>
    </row>
    <row r="50">
      <c r="A50" s="8" t="inlineStr">
        <is>
          <t>9. Tồn kho</t>
        </is>
      </c>
      <c r="B50" s="9" t="n"/>
      <c r="C50" s="9" t="n"/>
      <c r="D50" s="10">
        <f>SUM(D51:D52)</f>
        <v/>
      </c>
    </row>
    <row r="51" ht="26" customHeight="1">
      <c r="A51" s="11" t="n">
        <v>30</v>
      </c>
      <c r="B51" s="12" t="inlineStr">
        <is>
          <t>Tồn kho + phiếu nhập/xuất + chặn thiếu</t>
        </is>
      </c>
      <c r="C51" s="12" t="inlineStr">
        <is>
          <t>Nhập/xuất, xuất gắn đơn, chặn khi không đủ tồn</t>
        </is>
      </c>
      <c r="D51" s="13" t="n">
        <v>6000000</v>
      </c>
    </row>
    <row r="52" ht="26" customHeight="1">
      <c r="A52" s="11" t="n">
        <v>31</v>
      </c>
      <c r="B52" s="12" t="inlineStr">
        <is>
          <t>Danh sách &amp; chi tiết phiếu kho</t>
        </is>
      </c>
      <c r="C52" s="12" t="inlineStr">
        <is>
          <t>Tra cứu phiếu, các dòng sản phẩm</t>
        </is>
      </c>
      <c r="D52" s="13" t="n">
        <v>2400000</v>
      </c>
    </row>
    <row r="53">
      <c r="A53" s="8" t="inlineStr">
        <is>
          <t>10. Phân quyền &amp; Duyệt</t>
        </is>
      </c>
      <c r="B53" s="9" t="n"/>
      <c r="C53" s="9" t="n"/>
      <c r="D53" s="10">
        <f>SUM(D54:D56)</f>
        <v/>
      </c>
    </row>
    <row r="54" ht="26" customHeight="1">
      <c r="A54" s="11" t="n">
        <v>32</v>
      </c>
      <c r="B54" s="12" t="inlineStr">
        <is>
          <t>Mô hình quyền per-account + role preset (BE)</t>
        </is>
      </c>
      <c r="C54" s="12" t="inlineStr">
        <is>
          <t>Nguồn chân lý theo account, áp preset</t>
        </is>
      </c>
      <c r="D54" s="13" t="n">
        <v>4800000</v>
      </c>
    </row>
    <row r="55" ht="26" customHeight="1">
      <c r="A55" s="11" t="n">
        <v>33</v>
      </c>
      <c r="B55" s="12" t="inlineStr">
        <is>
          <t>Màn phân quyền + ma trận + form account</t>
        </is>
      </c>
      <c r="C55" s="12" t="inlineStr">
        <is>
          <t>Checklist quyền, áp preset, tạo/sửa account</t>
        </is>
      </c>
      <c r="D55" s="13" t="n">
        <v>4800000</v>
      </c>
    </row>
    <row r="56" ht="26" customHeight="1">
      <c r="A56" s="11" t="n">
        <v>34</v>
      </c>
      <c r="B56" s="12" t="inlineStr">
        <is>
          <t>Duyệt chiết khấu</t>
        </is>
      </c>
      <c r="C56" s="12" t="inlineStr">
        <is>
          <t>Luồng đề xuất → duyệt/từ chối</t>
        </is>
      </c>
      <c r="D56" s="13" t="n">
        <v>3000000</v>
      </c>
    </row>
    <row r="57">
      <c r="A57" s="8" t="inlineStr">
        <is>
          <t>11. Dashboard &amp; Báo cáo</t>
        </is>
      </c>
      <c r="B57" s="9" t="n"/>
      <c r="C57" s="9" t="n"/>
      <c r="D57" s="10">
        <f>SUM(D58:D58)</f>
        <v/>
      </c>
    </row>
    <row r="58" ht="26" customHeight="1">
      <c r="A58" s="11" t="n">
        <v>35</v>
      </c>
      <c r="B58" s="12" t="inlineStr">
        <is>
          <t>Dashboard doanh thu/đơn/trạng thái</t>
        </is>
      </c>
      <c r="C58" s="12" t="inlineStr">
        <is>
          <t>Query tổng hợp + web + mobile</t>
        </is>
      </c>
      <c r="D58" s="13" t="n">
        <v>6000000</v>
      </c>
    </row>
    <row r="59">
      <c r="A59" s="8" t="inlineStr">
        <is>
          <t>12. Audit log</t>
        </is>
      </c>
      <c r="B59" s="9" t="n"/>
      <c r="C59" s="9" t="n"/>
      <c r="D59" s="10">
        <f>SUM(D60:D60)</f>
        <v/>
      </c>
    </row>
    <row r="60" ht="26" customHeight="1">
      <c r="A60" s="11" t="n">
        <v>36</v>
      </c>
      <c r="B60" s="12" t="inlineStr">
        <is>
          <t>Audit mọi hành động + màn tra (Super Admin)</t>
        </is>
      </c>
      <c r="C60" s="12" t="inlineStr">
        <is>
          <t>Ghi log bất biến, màn tra cứu</t>
        </is>
      </c>
      <c r="D60" s="13" t="n">
        <v>4800000</v>
      </c>
    </row>
    <row r="61">
      <c r="A61" s="8" t="inlineStr">
        <is>
          <t>13. QA, Tài liệu &amp; Bàn giao</t>
        </is>
      </c>
      <c r="B61" s="9" t="n"/>
      <c r="C61" s="9" t="n"/>
      <c r="D61" s="10">
        <f>SUM(D62:D64)</f>
        <v/>
      </c>
    </row>
    <row r="62" ht="26" customHeight="1">
      <c r="A62" s="11" t="n">
        <v>37</v>
      </c>
      <c r="B62" s="12" t="inlineStr">
        <is>
          <t>Kiểm thử tích hợp &amp; sửa lỗi</t>
        </is>
      </c>
      <c r="C62" s="12" t="inlineStr">
        <is>
          <t>Test end-to-end các luồng, vá lỗi</t>
        </is>
      </c>
      <c r="D62" s="13" t="n">
        <v>12000000</v>
      </c>
    </row>
    <row r="63" ht="26" customHeight="1">
      <c r="A63" s="11" t="n">
        <v>38</v>
      </c>
      <c r="B63" s="12" t="inlineStr">
        <is>
          <t>Tài liệu hướng dẫn &amp; đào tạo</t>
        </is>
      </c>
      <c r="C63" s="12" t="inlineStr">
        <is>
          <t>Tài liệu người dùng, buổi hướng dẫn</t>
        </is>
      </c>
      <c r="D63" s="13" t="n">
        <v>3600000</v>
      </c>
    </row>
    <row r="64" ht="26" customHeight="1">
      <c r="A64" s="11" t="n">
        <v>39</v>
      </c>
      <c r="B64" s="12" t="inlineStr">
        <is>
          <t>Nghiệm thu, deploy production &amp; bàn giao</t>
        </is>
      </c>
      <c r="C64" s="12" t="inlineStr">
        <is>
          <t>Triển khai, chỉnh sửa nghiệm thu, bàn giao</t>
        </is>
      </c>
      <c r="D64" s="13" t="n">
        <v>4800000</v>
      </c>
    </row>
    <row r="65">
      <c r="A65" s="8" t="inlineStr">
        <is>
          <t>14. Thiết kế, triển khai &amp; mục bổ sung</t>
        </is>
      </c>
      <c r="B65" s="9" t="n"/>
      <c r="C65" s="9" t="n"/>
      <c r="D65" s="10">
        <f>SUM(D66:D69)</f>
        <v/>
      </c>
    </row>
    <row r="66" ht="26" customHeight="1">
      <c r="A66" s="11" t="n">
        <v>40</v>
      </c>
      <c r="B66" s="12" t="inlineStr">
        <is>
          <t>Thiết kế UI/UX chi tiết 25 màn (web+mobile)</t>
        </is>
      </c>
      <c r="C66" s="12" t="inlineStr">
        <is>
          <t>Bộ mockup 25 màn, design system, review</t>
        </is>
      </c>
      <c r="D66" s="13" t="n">
        <v>12000000</v>
      </c>
    </row>
    <row r="67" ht="26" customHeight="1">
      <c r="A67" s="11" t="n">
        <v>41</v>
      </c>
      <c r="B67" s="12" t="inlineStr">
        <is>
          <t>Sửa theo phản hồi khách (2–3 vòng)</t>
        </is>
      </c>
      <c r="C67" s="12" t="inlineStr">
        <is>
          <t>Chỉnh sửa theo góp ý trong quá trình làm</t>
        </is>
      </c>
      <c r="D67" s="13" t="n">
        <v>7200000</v>
      </c>
    </row>
    <row r="68" ht="26" customHeight="1">
      <c r="A68" s="11" t="n">
        <v>42</v>
      </c>
      <c r="B68" s="12" t="inlineStr">
        <is>
          <t>Phân phối app mobile</t>
        </is>
      </c>
      <c r="C68" s="12" t="inlineStr">
        <is>
          <t>Build/ký app, TestFlight/Play hoặc APK nội bộ/MDM</t>
        </is>
      </c>
      <c r="D68" s="13" t="n">
        <v>3600000</v>
      </c>
    </row>
    <row r="69" ht="26" customHeight="1">
      <c r="A69" s="11" t="n">
        <v>43</v>
      </c>
      <c r="B69" s="12" t="inlineStr">
        <is>
          <t>Trạng thái empty/loading/error các list còn lại</t>
        </is>
      </c>
      <c r="C69" s="12" t="inlineStr">
        <is>
          <t>Áp cho khách, danh mục, kho…</t>
        </is>
      </c>
      <c r="D69" s="13" t="n">
        <v>3000000</v>
      </c>
    </row>
    <row r="71">
      <c r="A71" s="14" t="inlineStr">
        <is>
          <t>Cộng chi phí phát triển</t>
        </is>
      </c>
      <c r="B71" s="15" t="n"/>
      <c r="C71" s="15" t="n"/>
      <c r="D71" s="13">
        <f>D12+D18+D22+D25+D28+D36+D42+D44+D47+D50+D53+D57+D59+D61+D65</f>
        <v/>
      </c>
    </row>
    <row r="72">
      <c r="A72" s="14" t="inlineStr">
        <is>
          <t>Dự phòng rủi ro (12%)</t>
        </is>
      </c>
      <c r="B72" s="15" t="n"/>
      <c r="C72" s="15" t="n"/>
      <c r="D72" s="16">
        <f>D71*0.12</f>
        <v/>
      </c>
    </row>
    <row r="73">
      <c r="A73" s="17" t="inlineStr">
        <is>
          <t>TỔNG CỘNG (trước VAT)</t>
        </is>
      </c>
      <c r="B73" s="18" t="n"/>
      <c r="C73" s="18" t="n"/>
      <c r="D73" s="19">
        <f>D71+D72</f>
        <v/>
      </c>
    </row>
    <row r="74">
      <c r="A74" s="14" t="inlineStr">
        <is>
          <t>Thuế VAT (8%)</t>
        </is>
      </c>
      <c r="B74" s="15" t="n"/>
      <c r="C74" s="15" t="n"/>
      <c r="D74" s="16">
        <f>D73*0.08</f>
        <v/>
      </c>
    </row>
    <row r="75" ht="24" customHeight="1">
      <c r="A75" s="20" t="inlineStr">
        <is>
          <t>TỔNG CỘNG (sau VAT)</t>
        </is>
      </c>
      <c r="B75" s="21" t="n"/>
      <c r="C75" s="21" t="n"/>
      <c r="D75" s="22">
        <f>D73+D74</f>
        <v/>
      </c>
    </row>
    <row r="77">
      <c r="A77" s="23" t="inlineStr">
        <is>
          <t>GHI CHÚ &amp; PHẠM VI</t>
        </is>
      </c>
    </row>
    <row r="78" ht="26" customHeight="1">
      <c r="A78" s="24" t="inlineStr">
        <is>
          <t>• Báo giá trọn gói theo từng hạng mục. Đã bao gồm: phân tích, thiết kế UI (mockup 25 màn), lập trình Web + Mobile + Backend, kiểm thử, tài liệu, triển khai, phân phối app và dự phòng rủi ro.</t>
        </is>
      </c>
    </row>
    <row r="79" ht="26" customHeight="1">
      <c r="A79" s="24" t="inlineStr">
        <is>
          <t>• Chưa bao gồm (báo giá riêng khi phát sinh): cổng đại lý tự đặt hàng, tích hợp hoá đơn điện tử nhà cung cấp (VNPT/Viettel…), CRM đầy đủ, offline mode, quản lý nhiều kho.</t>
        </is>
      </c>
    </row>
    <row r="80" ht="26" customHeight="1">
      <c r="A80" s="24" t="inlineStr">
        <is>
          <t>• Chi phí HÀNG THÁNG/định kỳ sau bàn giao (bảo trì, VPS, SMS, tên miền, tài khoản Apple/Google): xem bảng bên dưới; KHÔNG tính trong tổng báo giá trên.</t>
        </is>
      </c>
    </row>
    <row r="81" ht="26" customHeight="1">
      <c r="A81" s="24" t="inlineStr">
        <is>
          <t>• Bảo trì, hỗ trợ &amp; nâng cấp sau bàn giao: theo phí hàng tháng (bảng bên dưới) hoặc hợp đồng riêng.</t>
        </is>
      </c>
    </row>
    <row r="82" ht="26" customHeight="1">
      <c r="A82" s="24" t="inlineStr">
        <is>
          <t>• Thanh toán theo tiến độ hợp đồng — đề xuất chia đợt theo nhóm hạng mục.</t>
        </is>
      </c>
    </row>
    <row r="84">
      <c r="A84" s="23" t="inlineStr">
        <is>
          <t>CHI PHÍ HÀNG THÁNG / ĐỊNH KỲ (sau bàn giao — KHÔNG gồm trong tổng báo giá trên)</t>
        </is>
      </c>
    </row>
    <row r="85">
      <c r="A85" s="25" t="inlineStr">
        <is>
          <t>Hạng mục</t>
        </is>
      </c>
      <c r="B85" s="26" t="n"/>
      <c r="C85" s="25" t="inlineStr">
        <is>
          <t>Chi phí / chu kỳ</t>
        </is>
      </c>
      <c r="D85" s="25" t="inlineStr">
        <is>
          <t>Ghi chú</t>
        </is>
      </c>
    </row>
    <row r="86" ht="18" customHeight="1">
      <c r="A86" s="27" t="inlineStr">
        <is>
          <t>Phí bảo trì &amp; hỗ trợ phần mềm</t>
        </is>
      </c>
      <c r="B86" s="21" t="n"/>
      <c r="C86" s="28" t="inlineStr">
        <is>
          <t>5.000.000 đ / tháng</t>
        </is>
      </c>
      <c r="D86" s="29" t="inlineStr">
        <is>
          <t>Sửa lỗi, cập nhật nhỏ, hỗ trợ vận hành — tính từ sau bàn giao</t>
        </is>
      </c>
    </row>
    <row r="87" ht="18" customHeight="1">
      <c r="A87" s="30" t="inlineStr">
        <is>
          <t>Thuê máy chủ VPS</t>
        </is>
      </c>
      <c r="B87" s="15" t="n"/>
      <c r="C87" s="31" t="inlineStr">
        <is>
          <t>~500.000 đ / tháng</t>
        </is>
      </c>
      <c r="D87" s="30" t="inlineStr">
        <is>
          <t>Tuỳ cấu hình máy chủ</t>
        </is>
      </c>
    </row>
    <row r="88" ht="18" customHeight="1">
      <c r="A88" s="30" t="inlineStr">
        <is>
          <t>SMS OTP (quên mật khẩu)</t>
        </is>
      </c>
      <c r="B88" s="15" t="n"/>
      <c r="C88" s="31" t="inlineStr">
        <is>
          <t>~500 đ / tin</t>
        </is>
      </c>
      <c r="D88" s="30" t="inlineStr">
        <is>
          <t>Theo lượng tin gửi thực tế</t>
        </is>
      </c>
    </row>
    <row r="89" ht="18" customHeight="1">
      <c r="A89" s="30" t="inlineStr">
        <is>
          <t>Tên miền</t>
        </is>
      </c>
      <c r="B89" s="15" t="n"/>
      <c r="C89" s="31" t="inlineStr">
        <is>
          <t>~300.000 đ / năm</t>
        </is>
      </c>
      <c r="D89" s="30" t="inlineStr">
        <is>
          <t>.vn/.com — gia hạn hằng năm</t>
        </is>
      </c>
    </row>
    <row r="90" ht="18" customHeight="1">
      <c r="A90" s="30" t="inlineStr">
        <is>
          <t>Chứng chỉ SSL</t>
        </is>
      </c>
      <c r="B90" s="15" t="n"/>
      <c r="C90" s="31" t="inlineStr">
        <is>
          <t>Miễn phí</t>
        </is>
      </c>
      <c r="D90" s="30" t="inlineStr">
        <is>
          <t>Let's Encrypt</t>
        </is>
      </c>
    </row>
    <row r="91" ht="18" customHeight="1">
      <c r="A91" s="30" t="inlineStr">
        <is>
          <t>Tài khoản Apple Developer</t>
        </is>
      </c>
      <c r="B91" s="15" t="n"/>
      <c r="C91" s="31" t="inlineStr">
        <is>
          <t>~2.500.000 đ / năm</t>
        </is>
      </c>
      <c r="D91" s="30" t="inlineStr">
        <is>
          <t>Nếu phát hành App Store</t>
        </is>
      </c>
    </row>
    <row r="92" ht="18" customHeight="1">
      <c r="A92" s="30" t="inlineStr">
        <is>
          <t>Tài khoản Google Play</t>
        </is>
      </c>
      <c r="B92" s="15" t="n"/>
      <c r="C92" s="31" t="inlineStr">
        <is>
          <t>~625.000 đ / một lần</t>
        </is>
      </c>
      <c r="D92" s="30" t="inlineStr">
        <is>
          <t>Nếu phát hành Play Store</t>
        </is>
      </c>
    </row>
    <row r="93" ht="18" customHeight="1">
      <c r="A93" s="27" t="inlineStr">
        <is>
          <t>TỔNG ƯỚC TÍNH HÀNG THÁNG (bảo trì + VPS)</t>
        </is>
      </c>
      <c r="B93" s="21" t="n"/>
      <c r="C93" s="28" t="inlineStr">
        <is>
          <t>~5.500.000 đ / tháng</t>
        </is>
      </c>
      <c r="D93" s="29" t="inlineStr">
        <is>
          <t>Chưa gồm SMS theo lượng</t>
        </is>
      </c>
    </row>
    <row r="96">
      <c r="A96" s="32" t="inlineStr">
        <is>
          <t>ĐẠI DIỆN KHÁCH HÀNG</t>
        </is>
      </c>
      <c r="C96" s="32" t="inlineStr">
        <is>
          <t>ĐƠN VỊ PHÁT TRIỂN</t>
        </is>
      </c>
    </row>
    <row r="97">
      <c r="A97" s="33" t="inlineStr">
        <is>
          <t>(Ký, ghi rõ họ tên)</t>
        </is>
      </c>
      <c r="C97" s="33" t="inlineStr">
        <is>
          <t>(Ký, ghi rõ họ tên)</t>
        </is>
      </c>
    </row>
  </sheetData>
  <mergeCells count="47">
    <mergeCell ref="A5:D5"/>
    <mergeCell ref="A25:C25"/>
    <mergeCell ref="A92:B92"/>
    <mergeCell ref="B7:C7"/>
    <mergeCell ref="A75:C75"/>
    <mergeCell ref="A4:D4"/>
    <mergeCell ref="A74:C74"/>
    <mergeCell ref="A18:C18"/>
    <mergeCell ref="A81:D81"/>
    <mergeCell ref="C97:D97"/>
    <mergeCell ref="A88:B88"/>
    <mergeCell ref="A50:C50"/>
    <mergeCell ref="A12:C12"/>
    <mergeCell ref="A57:C57"/>
    <mergeCell ref="A87:B87"/>
    <mergeCell ref="A42:C42"/>
    <mergeCell ref="A71:C71"/>
    <mergeCell ref="A47:C47"/>
    <mergeCell ref="A77:D77"/>
    <mergeCell ref="A90:B90"/>
    <mergeCell ref="A22:C22"/>
    <mergeCell ref="A82:D82"/>
    <mergeCell ref="A89:B89"/>
    <mergeCell ref="A53:C53"/>
    <mergeCell ref="B8:C8"/>
    <mergeCell ref="A72:C72"/>
    <mergeCell ref="A1:D1"/>
    <mergeCell ref="A28:C28"/>
    <mergeCell ref="A79:D79"/>
    <mergeCell ref="A86:B86"/>
    <mergeCell ref="A44:C44"/>
    <mergeCell ref="A78:D78"/>
    <mergeCell ref="A85:B85"/>
    <mergeCell ref="B9:C9"/>
    <mergeCell ref="A59:C59"/>
    <mergeCell ref="A73:C73"/>
    <mergeCell ref="A84:D84"/>
    <mergeCell ref="A91:B91"/>
    <mergeCell ref="A97:B97"/>
    <mergeCell ref="A80:D80"/>
    <mergeCell ref="A96:B96"/>
    <mergeCell ref="A36:C36"/>
    <mergeCell ref="A61:C61"/>
    <mergeCell ref="A93:B93"/>
    <mergeCell ref="A2:D2"/>
    <mergeCell ref="C96:D96"/>
    <mergeCell ref="A65:C65"/>
  </mergeCells>
  <printOptions horizontalCentered="1"/>
  <pageMargins left="0.75" right="0.75" top="1" bottom="1" header="0.5" footer="0.5"/>
  <pageSetup orientation="portrait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2026-07-06T09:55:28Z</dcterms:created>
  <dcterms:modified xmlns:dcterms="http://purl.org/dc/terms/" xmlns:xsi="http://www.w3.org/2001/XMLSchema-instance" xsi:type="dcterms:W3CDTF">2026-07-06T09:55:28Z</dcterms:modified>
</cp:coreProperties>
</file>